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740" windowHeight="17820"/>
  </bookViews>
  <sheets>
    <sheet name="产品报价单" sheetId="5" r:id="rId1"/>
    <sheet name="稻壳儿表格模板使用说明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<sst xmlns="http://schemas.openxmlformats.org/spreadsheetml/2006/main" count="57" uniqueCount="52">
  <si>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珠海环界云计算有限公司</t>
  </si>
  <si>
    <t>产  品  报  价  单</t>
  </si>
  <si>
    <t>公司地址：</t>
  </si>
  <si>
    <t>杭州市余杭区阿里巴巴数字生态创新园6幢W7 405</t>
  </si>
  <si>
    <t>公司电话：</t>
  </si>
  <si>
    <t>18875838897</t>
  </si>
  <si>
    <t>公司邮箱：</t>
  </si>
  <si>
    <t>Dennis@sealos.io</t>
  </si>
  <si>
    <t>客户名称</t>
  </si>
  <si>
    <t>钉钉（金田项目）</t>
  </si>
  <si>
    <t>联系人</t>
  </si>
  <si>
    <t>乐微</t>
  </si>
  <si>
    <t>联系方式</t>
  </si>
  <si>
    <t>报价日期</t>
  </si>
  <si>
    <t>有限日期</t>
  </si>
  <si>
    <t>负责人</t>
  </si>
  <si>
    <t>杨道升</t>
  </si>
  <si>
    <t>序号</t>
  </si>
  <si>
    <t>产品名称</t>
  </si>
  <si>
    <t>规格型号描述</t>
  </si>
  <si>
    <t>数量</t>
  </si>
  <si>
    <t>单位</t>
  </si>
  <si>
    <t>含税单价</t>
  </si>
  <si>
    <t>不含税单价</t>
  </si>
  <si>
    <t>折扣率</t>
  </si>
  <si>
    <t>折后含税金额</t>
  </si>
  <si>
    <t>备注</t>
  </si>
  <si>
    <t>FastGPT 商业版 （单节点永久商业授权）</t>
  </si>
  <si>
    <t>F4-标准流程，非招投标</t>
  </si>
  <si>
    <t>套</t>
  </si>
  <si>
    <t>AI工程师（高级）</t>
  </si>
  <si>
    <t>高级工程师</t>
  </si>
  <si>
    <t>人/天</t>
  </si>
  <si>
    <t>AI工程师（中级）</t>
  </si>
  <si>
    <t>中级工程师</t>
  </si>
  <si>
    <t>AI工程师（初级）</t>
  </si>
  <si>
    <t>初级工程师</t>
  </si>
  <si>
    <t>总额合计（大写）</t>
  </si>
  <si>
    <t>总额合计（小写）</t>
  </si>
  <si>
    <t>备 注
说 明</t>
  </si>
  <si>
    <t>1、以上报价产品提供13%税率的增值税专用发票。</t>
  </si>
  <si>
    <t>增值税税率</t>
  </si>
  <si>
    <t>2、以上报价人力费用提供6%税率的增值税专用发票。</t>
  </si>
  <si>
    <t>3、产品交付方式：线上部署，镜像交付。</t>
  </si>
  <si>
    <t>不含税总金额</t>
  </si>
  <si>
    <t>4、结算方式：软件为标品，合同签订后预付100%。</t>
  </si>
  <si>
    <t>增值税税额</t>
  </si>
  <si>
    <t>5、包含永久的更新服务（客户方自主拉镜像升级）。</t>
  </si>
  <si>
    <t>价税合计</t>
  </si>
  <si>
    <t>6、有其他需要帮忙随时联系18875838897。</t>
  </si>
  <si>
    <t>负责人签名：</t>
  </si>
  <si>
    <t>单位盖章：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</si>
</sst>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  <numFmt numFmtId="177" formatCode="&quot;￥&quot;#,##0.00_);[Red]\(&quot;￥&quot;#,##0.00\)"/>
    <numFmt numFmtId="178" formatCode="#,##0.00_ "/>
  </numFmts>
  <fonts count="36">
    <font>
      <sz val="11"/>
      <color theme="1"/>
      <name val="宋体"/>
      <charset val="134"/>
      <scheme val="minor"/>
    </font>
    <font>
      <b/>
      <sz val="12.5"/>
      <color theme="1"/>
      <name val="汉仪君黑-45简"/>
      <charset val="134"/>
    </font>
    <font>
      <sz val="12.5"/>
      <color theme="1"/>
      <name val="汉仪君黑-45简"/>
      <charset val="134"/>
    </font>
    <font>
      <b/>
      <sz val="26"/>
      <color theme="1"/>
      <name val="汉仪君黑-45简"/>
      <charset val="134"/>
    </font>
    <font>
      <b/>
      <sz val="18"/>
      <color theme="1"/>
      <name val="汉仪君黑-45简"/>
      <charset val="134"/>
    </font>
    <font>
      <sz val="12"/>
      <color theme="1"/>
      <name val="汉仪君黑-45简"/>
      <charset val="134"/>
    </font>
    <font>
      <u/>
      <sz val="11"/>
      <color rgb="FF0000FF"/>
      <name val="宋体"/>
      <charset val="0"/>
      <scheme val="minor"/>
    </font>
    <font>
      <b/>
      <sz val="12.5"/>
      <color theme="0"/>
      <name val="汉仪君黑-45简"/>
      <charset val="134"/>
    </font>
    <font>
      <b/>
      <sz val="14"/>
      <color theme="0"/>
      <name val="汉仪君黑-45简"/>
      <charset val="134"/>
    </font>
    <font>
      <b/>
      <sz val="16"/>
      <color theme="0"/>
      <name val="汉仪君黑-45简"/>
      <charset val="134"/>
    </font>
    <font>
      <b/>
      <sz val="16"/>
      <color theme="1"/>
      <name val="汉仪君黑-45简"/>
      <charset val="134"/>
    </font>
    <font>
      <sz val="12"/>
      <color theme="1"/>
      <name val="宋体"/>
      <charset val="134"/>
      <scheme val="minor"/>
    </font>
    <font>
      <b/>
      <sz val="36"/>
      <color theme="1"/>
      <name val="汉仪君黑-45简"/>
      <charset val="134"/>
    </font>
    <font>
      <b/>
      <i/>
      <sz val="16"/>
      <color theme="0"/>
      <name val="汉仪君黑-45简"/>
      <charset val="134"/>
    </font>
    <font>
      <b/>
      <sz val="12.5"/>
      <color theme="1" tint="0.35"/>
      <name val="汉仪君黑-45简"/>
      <charset val="134"/>
    </font>
    <font>
      <b/>
      <sz val="13"/>
      <color theme="1" tint="0.35"/>
      <name val="汉仪君黑-45简"/>
      <charset val="134"/>
    </font>
    <font>
      <b/>
      <sz val="14"/>
      <color theme="1" tint="0.35"/>
      <name val="汉仪君黑-45简"/>
      <charset val="134"/>
    </font>
    <font>
      <sz val="13"/>
      <color theme="1"/>
      <name val="汉仪君黑-45简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/>
      <top style="dashDotDot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double">
        <color theme="1" tint="0.5"/>
      </left>
      <right style="thin">
        <color theme="1" tint="0.5"/>
      </right>
      <top style="double">
        <color theme="1" tint="0.5"/>
      </top>
      <bottom style="thin">
        <color theme="1" tint="0.5"/>
      </bottom>
      <diagonal/>
    </border>
    <border>
      <left style="thin">
        <color theme="1" tint="0.5"/>
      </left>
      <right style="thin">
        <color theme="1" tint="0.5"/>
      </right>
      <top style="double">
        <color theme="1" tint="0.5"/>
      </top>
      <bottom style="thin">
        <color theme="1" tint="0.5"/>
      </bottom>
      <diagonal/>
    </border>
    <border>
      <left style="double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/>
      <top style="thin">
        <color theme="1" tint="0.5"/>
      </top>
      <bottom style="thin">
        <color theme="1" tint="0.5"/>
      </bottom>
      <diagonal/>
    </border>
    <border>
      <left/>
      <right/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/>
      <top style="thin">
        <color theme="1" tint="0.5"/>
      </top>
      <bottom/>
      <diagonal/>
    </border>
    <border>
      <left/>
      <right/>
      <top style="thin">
        <color theme="1" tint="0.5"/>
      </top>
      <bottom/>
      <diagonal/>
    </border>
    <border>
      <left style="double">
        <color theme="1" tint="0.5"/>
      </left>
      <right style="thin">
        <color theme="1" tint="0.5"/>
      </right>
      <top style="thin">
        <color theme="1" tint="0.5"/>
      </top>
      <bottom style="double">
        <color theme="1" tint="0.5"/>
      </bottom>
      <diagonal/>
    </border>
    <border>
      <left style="thin">
        <color theme="1" tint="0.5"/>
      </left>
      <right/>
      <top/>
      <bottom style="double">
        <color theme="1" tint="0.5"/>
      </bottom>
      <diagonal/>
    </border>
    <border>
      <left/>
      <right/>
      <top/>
      <bottom style="double">
        <color theme="1" tint="0.5"/>
      </bottom>
      <diagonal/>
    </border>
    <border>
      <left style="thin">
        <color theme="1" tint="0.5"/>
      </left>
      <right style="double">
        <color theme="1" tint="0.5"/>
      </right>
      <top style="double">
        <color theme="1" tint="0.5"/>
      </top>
      <bottom style="thin">
        <color theme="1" tint="0.5"/>
      </bottom>
      <diagonal/>
    </border>
    <border>
      <left style="thin">
        <color theme="1" tint="0.5"/>
      </left>
      <right style="double">
        <color theme="1" tint="0.5"/>
      </right>
      <top style="thin">
        <color theme="1" tint="0.5"/>
      </top>
      <bottom style="thin">
        <color theme="1" tint="0.5"/>
      </bottom>
      <diagonal/>
    </border>
    <border>
      <left/>
      <right style="double">
        <color theme="1" tint="0.5"/>
      </right>
      <top style="thin">
        <color theme="1" tint="0.5"/>
      </top>
      <bottom style="thin">
        <color theme="1" tint="0.5"/>
      </bottom>
      <diagonal/>
    </border>
    <border>
      <left style="double">
        <color theme="1" tint="0.5"/>
      </left>
      <right/>
      <top style="thin">
        <color theme="1" tint="0.5"/>
      </top>
      <bottom style="thin">
        <color theme="1" tint="0.5"/>
      </bottom>
      <diagonal/>
    </border>
    <border>
      <left/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/>
      <right style="thin">
        <color theme="1" tint="0.5"/>
      </right>
      <top style="thin">
        <color theme="1" tint="0.5"/>
      </top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/>
      <diagonal/>
    </border>
    <border>
      <left/>
      <right style="double">
        <color theme="1" tint="0.5"/>
      </right>
      <top style="thin">
        <color theme="1" tint="0.5"/>
      </top>
      <bottom/>
      <diagonal/>
    </border>
    <border>
      <left/>
      <right style="thin">
        <color theme="1" tint="0.5"/>
      </right>
      <top/>
      <bottom style="double">
        <color theme="1" tint="0.5"/>
      </bottom>
      <diagonal/>
    </border>
    <border>
      <left style="thin">
        <color theme="1" tint="0.5"/>
      </left>
      <right style="thin">
        <color theme="1" tint="0.5"/>
      </right>
      <top/>
      <bottom style="double">
        <color theme="1" tint="0.5"/>
      </bottom>
      <diagonal/>
    </border>
    <border>
      <left/>
      <right style="double">
        <color theme="1" tint="0.5"/>
      </right>
      <top/>
      <bottom style="double">
        <color theme="1" tint="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2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28" applyNumberFormat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7" borderId="28" applyNumberFormat="0" applyAlignment="0" applyProtection="0">
      <alignment vertical="center"/>
    </xf>
    <xf numFmtId="0" fontId="28" fillId="8" borderId="30" applyNumberFormat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0" borderId="0" xfId="6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76" fontId="9" fillId="2" borderId="6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7" fontId="2" fillId="3" borderId="6" xfId="0" applyNumberFormat="1" applyFont="1" applyFill="1" applyBorder="1" applyAlignment="1">
      <alignment horizontal="center" vertical="center"/>
    </xf>
    <xf numFmtId="178" fontId="2" fillId="3" borderId="6" xfId="0" applyNumberFormat="1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8" fontId="13" fillId="2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6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8" fontId="13" fillId="2" borderId="15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left" vertical="center"/>
    </xf>
    <xf numFmtId="0" fontId="14" fillId="4" borderId="6" xfId="0" applyFont="1" applyFill="1" applyBorder="1" applyAlignment="1">
      <alignment horizontal="center" vertical="center"/>
    </xf>
    <xf numFmtId="9" fontId="15" fillId="0" borderId="6" xfId="0" applyNumberFormat="1" applyFont="1" applyBorder="1" applyAlignment="1">
      <alignment horizontal="center" vertical="center"/>
    </xf>
    <xf numFmtId="9" fontId="15" fillId="0" borderId="15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177" fontId="15" fillId="0" borderId="6" xfId="0" applyNumberFormat="1" applyFont="1" applyBorder="1" applyAlignment="1">
      <alignment horizontal="right" vertical="center"/>
    </xf>
    <xf numFmtId="177" fontId="15" fillId="0" borderId="15" xfId="0" applyNumberFormat="1" applyFont="1" applyBorder="1" applyAlignment="1">
      <alignment horizontal="right" vertical="center"/>
    </xf>
    <xf numFmtId="0" fontId="2" fillId="0" borderId="19" xfId="0" applyFont="1" applyFill="1" applyBorder="1" applyAlignment="1">
      <alignment horizontal="left" vertical="center"/>
    </xf>
    <xf numFmtId="0" fontId="16" fillId="4" borderId="20" xfId="0" applyFont="1" applyFill="1" applyBorder="1" applyAlignment="1">
      <alignment horizontal="center" vertical="center"/>
    </xf>
    <xf numFmtId="177" fontId="15" fillId="0" borderId="9" xfId="0" applyNumberFormat="1" applyFont="1" applyBorder="1" applyAlignment="1">
      <alignment horizontal="right" vertical="center"/>
    </xf>
    <xf numFmtId="177" fontId="15" fillId="0" borderId="21" xfId="0" applyNumberFormat="1" applyFont="1" applyBorder="1" applyAlignment="1">
      <alignment horizontal="right" vertical="center"/>
    </xf>
    <xf numFmtId="0" fontId="2" fillId="0" borderId="22" xfId="0" applyFont="1" applyFill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177" fontId="15" fillId="0" borderId="12" xfId="0" applyNumberFormat="1" applyFont="1" applyBorder="1" applyAlignment="1">
      <alignment horizontal="right" vertical="center"/>
    </xf>
    <xf numFmtId="177" fontId="15" fillId="0" borderId="24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676275</xdr:colOff>
      <xdr:row>1</xdr:row>
      <xdr:rowOff>217805</xdr:rowOff>
    </xdr:from>
    <xdr:to>
      <xdr:col>6</xdr:col>
      <xdr:colOff>534035</xdr:colOff>
      <xdr:row>4</xdr:row>
      <xdr:rowOff>63500</xdr:rowOff>
    </xdr:to>
    <xdr:pic>
      <xdr:nvPicPr>
        <xdr:cNvPr id="2" name="图片 1" descr="fastgp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5295" y="560705"/>
          <a:ext cx="691515" cy="6838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619125</xdr:colOff>
      <xdr:row>2</xdr:row>
      <xdr:rowOff>94615</xdr:rowOff>
    </xdr:from>
    <xdr:to>
      <xdr:col>16</xdr:col>
      <xdr:colOff>447675</xdr:colOff>
      <xdr:row>72</xdr:row>
      <xdr:rowOff>40005</xdr:rowOff>
    </xdr:to>
    <xdr:grpSp>
      <xdr:nvGrpSpPr>
        <xdr:cNvPr id="2" name="组合 1"/>
        <xdr:cNvGrpSpPr/>
      </xdr:nvGrpSpPr>
      <xdr:grpSpPr>
        <a:xfrm>
          <a:off x="1174750" y="521335"/>
          <a:ext cx="8670925" cy="14880590"/>
          <a:chOff x="1870" y="728"/>
          <a:chExt cx="14189" cy="20569"/>
        </a:xfrm>
      </xdr:grpSpPr>
      <xdr:sp>
        <xdr:nvSpPr>
          <xdr:cNvPr id="3" name="矩形 1"/>
          <xdr:cNvSpPr/>
        </xdr:nvSpPr>
        <xdr:spPr>
          <a:xfrm>
            <a:off x="1874" y="728"/>
            <a:ext cx="14162" cy="20569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127000" sx="101000" sy="101000" algn="ctr" rotWithShape="0">
              <a:schemeClr val="bg1">
                <a:lumMod val="75000"/>
                <a:alpha val="3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grpSp>
        <xdr:nvGrpSpPr>
          <xdr:cNvPr id="4" name="组合 3"/>
          <xdr:cNvGrpSpPr/>
        </xdr:nvGrpSpPr>
        <xdr:grpSpPr>
          <a:xfrm>
            <a:off x="1870" y="1677"/>
            <a:ext cx="14189" cy="18392"/>
            <a:chOff x="1870" y="1678"/>
            <a:chExt cx="14189" cy="18391"/>
          </a:xfrm>
        </xdr:grpSpPr>
        <xdr:grpSp>
          <xdr:nvGrpSpPr>
            <xdr:cNvPr id="5" name="组合 102"/>
            <xdr:cNvGrpSpPr/>
          </xdr:nvGrpSpPr>
          <xdr:grpSpPr>
            <a:xfrm rot="0">
              <a:off x="1870" y="1678"/>
              <a:ext cx="6877" cy="1285"/>
              <a:chOff x="-48" y="701"/>
              <a:chExt cx="6845" cy="1248"/>
            </a:xfrm>
          </xdr:grpSpPr>
          <xdr:sp>
            <xdr:nvSpPr>
              <xdr:cNvPr id="6" name="矩形 5"/>
              <xdr:cNvSpPr/>
            </xdr:nvSpPr>
            <xdr:spPr>
              <a:xfrm>
                <a:off x="-48" y="717"/>
                <a:ext cx="170" cy="737"/>
              </a:xfrm>
              <a:prstGeom prst="rect">
                <a:avLst/>
              </a:prstGeom>
              <a:solidFill>
                <a:srgbClr val="FF283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</xdr:sp>
          <xdr:sp>
            <xdr:nvSpPr>
              <xdr:cNvPr id="7" name="文本框 6"/>
              <xdr:cNvSpPr txBox="1"/>
            </xdr:nvSpPr>
            <xdr:spPr>
              <a:xfrm>
                <a:off x="166" y="701"/>
                <a:ext cx="6631" cy="1036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26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503050405090304" pitchFamily="12"/>
                    <a:sym typeface="Times New Roman" panose="02020503050405090304" pitchFamily="12"/>
                  </a:rPr>
                  <a:t>稻壳儿</a:t>
                </a:r>
                <a:r>
                  <a:rPr lang="zh-CN" altLang="en-US" sz="26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503050405090304" pitchFamily="12"/>
                    <a:sym typeface="Times New Roman" panose="02020503050405090304" pitchFamily="12"/>
                  </a:rPr>
                  <a:t>表格</a:t>
                </a:r>
                <a:r>
                  <a:rPr lang="en-US" altLang="zh-CN" sz="26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503050405090304" pitchFamily="12"/>
                    <a:sym typeface="Times New Roman" panose="02020503050405090304" pitchFamily="12"/>
                  </a:rPr>
                  <a:t>模板使用说明</a:t>
                </a:r>
                <a:endParaRPr lang="en-US" altLang="zh-CN" sz="2600" kern="100">
                  <a:latin typeface="黑体" panose="02010609060101010101" charset="-122"/>
                  <a:ea typeface="黑体" panose="02010609060101010101" charset="-122"/>
                  <a:cs typeface="Times New Roman" panose="02020503050405090304" pitchFamily="12"/>
                  <a:sym typeface="Times New Roman" panose="02020503050405090304" pitchFamily="12"/>
                </a:endParaRPr>
              </a:p>
            </xdr:txBody>
          </xdr:sp>
          <xdr:sp>
            <xdr:nvSpPr>
              <xdr:cNvPr id="8" name="文本框 7"/>
              <xdr:cNvSpPr txBox="1"/>
            </xdr:nvSpPr>
            <xdr:spPr>
              <a:xfrm>
                <a:off x="74" y="1481"/>
                <a:ext cx="5912" cy="468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1200" kern="1200">
                    <a:solidFill>
                      <a:srgbClr val="222222">
                        <a:alpha val="60000"/>
                      </a:srgbClr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503050405090304" pitchFamily="12"/>
                    <a:sym typeface="Times New Roman" panose="02020503050405090304" pitchFamily="12"/>
                  </a:rPr>
                  <a:t>（本页为说明页，用户使用模板时可删除本页内容）</a:t>
                </a:r>
                <a:endParaRPr lang="en-US" altLang="zh-CN" sz="12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503050405090304" pitchFamily="12"/>
                  <a:sym typeface="Times New Roman" panose="02020503050405090304" pitchFamily="12"/>
                </a:endParaRPr>
              </a:p>
            </xdr:txBody>
          </xdr:sp>
        </xdr:grpSp>
        <xdr:cxnSp>
          <xdr:nvCxnSpPr>
            <xdr:cNvPr id="9" name="直接连接符 8"/>
            <xdr:cNvCxnSpPr/>
          </xdr:nvCxnSpPr>
          <xdr:spPr>
            <a:xfrm>
              <a:off x="9781" y="4247"/>
              <a:ext cx="0" cy="15822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0" name="组合 9"/>
            <xdr:cNvGrpSpPr/>
          </xdr:nvGrpSpPr>
          <xdr:grpSpPr>
            <a:xfrm>
              <a:off x="10396" y="3270"/>
              <a:ext cx="5663" cy="14030"/>
              <a:chOff x="10397" y="3270"/>
              <a:chExt cx="5662" cy="14031"/>
            </a:xfrm>
          </xdr:grpSpPr>
          <xdr:grpSp>
            <xdr:nvGrpSpPr>
              <xdr:cNvPr id="11" name="组合 10"/>
              <xdr:cNvGrpSpPr/>
            </xdr:nvGrpSpPr>
            <xdr:grpSpPr>
              <a:xfrm>
                <a:off x="10411" y="3270"/>
                <a:ext cx="4778" cy="8761"/>
                <a:chOff x="10412" y="3270"/>
                <a:chExt cx="4778" cy="8761"/>
              </a:xfrm>
            </xdr:grpSpPr>
            <xdr:sp>
              <xdr:nvSpPr>
                <xdr:cNvPr id="12" name="文本框 11"/>
                <xdr:cNvSpPr txBox="1"/>
              </xdr:nvSpPr>
              <xdr:spPr>
                <a:xfrm>
                  <a:off x="10413" y="10382"/>
                  <a:ext cx="4777" cy="1649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 fontAlgn="auto">
                    <a:lnSpc>
                      <a:spcPct val="150000"/>
                    </a:lnSpc>
                    <a:spcAft>
                      <a:spcPts val="600"/>
                    </a:spcAft>
                  </a:pPr>
                  <a:r>
                    <a:rPr lang="zh-CN" altLang="en-US" sz="9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</a:rPr>
                    <a:t>【说明】</a:t>
                  </a:r>
                  <a:endParaRPr lang="zh-CN" altLang="en-US" sz="800">
                    <a:solidFill>
                      <a:srgbClr val="222222">
                        <a:alpha val="60000"/>
                      </a:srgb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</a:endParaRPr>
                </a:p>
                <a:p>
                  <a:pPr marL="39370" algn="l" fontAlgn="auto">
                    <a:lnSpc>
                      <a:spcPct val="120000"/>
                    </a:lnSpc>
                  </a:pPr>
                  <a:r>
                    <a:rPr sz="9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+mn-ea"/>
                    </a:rPr>
                    <a:t>模板中使用的字体仅限于个人学习、研究或欣赏目的使用，如需商用请您自行向版权方购买、获取商用版权。</a:t>
                  </a:r>
                  <a:endParaRPr sz="900">
                    <a:solidFill>
                      <a:srgbClr val="222222">
                        <a:alpha val="60000"/>
                      </a:srgb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+mn-ea"/>
                  </a:endParaRPr>
                </a:p>
                <a:p>
                  <a:pPr marL="39370" algn="l" fontAlgn="auto">
                    <a:lnSpc>
                      <a:spcPct val="120000"/>
                    </a:lnSpc>
                  </a:pPr>
                  <a:endParaRPr lang="zh-CN" altLang="en-US" sz="900">
                    <a:solidFill>
                      <a:srgbClr val="222222">
                        <a:alpha val="60000"/>
                      </a:srgb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+mn-ea"/>
                  </a:endParaRPr>
                </a:p>
              </xdr:txBody>
            </xdr:sp>
            <xdr:grpSp>
              <xdr:nvGrpSpPr>
                <xdr:cNvPr id="13" name="组合 12"/>
                <xdr:cNvGrpSpPr/>
              </xdr:nvGrpSpPr>
              <xdr:grpSpPr>
                <a:xfrm>
                  <a:off x="10412" y="3270"/>
                  <a:ext cx="4614" cy="6638"/>
                  <a:chOff x="8438" y="3702"/>
                  <a:chExt cx="4612" cy="6402"/>
                </a:xfrm>
              </xdr:grpSpPr>
              <xdr:grpSp>
                <xdr:nvGrpSpPr>
                  <xdr:cNvPr id="14" name="组合 32"/>
                  <xdr:cNvGrpSpPr/>
                </xdr:nvGrpSpPr>
                <xdr:grpSpPr>
                  <a:xfrm rot="0">
                    <a:off x="8721" y="6083"/>
                    <a:ext cx="4329" cy="4021"/>
                    <a:chOff x="11007" y="5362"/>
                    <a:chExt cx="4829" cy="4069"/>
                  </a:xfrm>
                </xdr:grpSpPr>
                <xdr:cxnSp>
                  <xdr:nvCxnSpPr>
                    <xdr:cNvPr id="15" name="直接连接符 14"/>
                    <xdr:cNvCxnSpPr/>
                  </xdr:nvCxnSpPr>
                  <xdr:spPr>
                    <a:xfrm>
                      <a:off x="11017" y="6717"/>
                      <a:ext cx="4819" cy="0"/>
                    </a:xfrm>
                    <a:prstGeom prst="line">
                      <a:avLst/>
                    </a:prstGeom>
                    <a:ln w="9525">
                      <a:solidFill>
                        <a:srgbClr val="222222">
                          <a:alpha val="8000"/>
                        </a:srgb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>
                  <xdr:nvCxnSpPr>
                    <xdr:cNvPr id="16" name="直接连接符 15"/>
                    <xdr:cNvCxnSpPr/>
                  </xdr:nvCxnSpPr>
                  <xdr:spPr>
                    <a:xfrm>
                      <a:off x="11008" y="5362"/>
                      <a:ext cx="4819" cy="0"/>
                    </a:xfrm>
                    <a:prstGeom prst="line">
                      <a:avLst/>
                    </a:prstGeom>
                    <a:ln w="9525">
                      <a:solidFill>
                        <a:srgbClr val="222222">
                          <a:alpha val="8000"/>
                        </a:srgb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>
                  <xdr:nvCxnSpPr>
                    <xdr:cNvPr id="17" name="直接连接符 16"/>
                    <xdr:cNvCxnSpPr/>
                  </xdr:nvCxnSpPr>
                  <xdr:spPr>
                    <a:xfrm>
                      <a:off x="11007" y="8072"/>
                      <a:ext cx="4819" cy="0"/>
                    </a:xfrm>
                    <a:prstGeom prst="line">
                      <a:avLst/>
                    </a:prstGeom>
                    <a:ln w="9525">
                      <a:solidFill>
                        <a:srgbClr val="222222">
                          <a:alpha val="8000"/>
                        </a:srgb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>
                  <xdr:nvCxnSpPr>
                    <xdr:cNvPr id="18" name="直接连接符 17"/>
                    <xdr:cNvCxnSpPr/>
                  </xdr:nvCxnSpPr>
                  <xdr:spPr>
                    <a:xfrm>
                      <a:off x="11008" y="9431"/>
                      <a:ext cx="4819" cy="0"/>
                    </a:xfrm>
                    <a:prstGeom prst="line">
                      <a:avLst/>
                    </a:prstGeom>
                    <a:ln w="9525">
                      <a:solidFill>
                        <a:srgbClr val="222222">
                          <a:alpha val="8000"/>
                        </a:srgb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grpSp>
                <xdr:nvGrpSpPr>
                  <xdr:cNvPr id="19" name="组合 34"/>
                  <xdr:cNvGrpSpPr/>
                </xdr:nvGrpSpPr>
                <xdr:grpSpPr>
                  <a:xfrm rot="0">
                    <a:off x="8438" y="3702"/>
                    <a:ext cx="3264" cy="2543"/>
                    <a:chOff x="10730" y="2878"/>
                    <a:chExt cx="3249" cy="2575"/>
                  </a:xfrm>
                </xdr:grpSpPr>
                <xdr:sp>
                  <xdr:nvSpPr>
                    <xdr:cNvPr id="20" name="文本框 19"/>
                    <xdr:cNvSpPr txBox="1"/>
                  </xdr:nvSpPr>
                  <xdr:spPr>
                    <a:xfrm>
                      <a:off x="10892" y="4279"/>
                      <a:ext cx="1702" cy="463"/>
                    </a:xfrm>
                    <a:prstGeom prst="rect">
                      <a:avLst/>
                    </a:prstGeom>
                    <a:noFill/>
                  </xdr:spPr>
                  <xdr:txBody>
                    <a:bodyPr wrap="square" rtlCol="0">
                      <a:noAutofit/>
                    </a:bodyPr>
                    <a:lstStyle>
                      <a:defPPr>
                        <a:defRPr lang="zh-CN"/>
                      </a:defPPr>
                      <a:lvl1pPr marL="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marL="0" algn="l" eaLnBrk="1"/>
                      <a:r>
                        <a:rPr lang="en-US" altLang="zh-CN" sz="900" kern="1200">
                          <a:solidFill>
                            <a:srgbClr val="222222">
                              <a:alpha val="60000"/>
                            </a:srgbClr>
                          </a:solidFill>
                          <a:latin typeface="黑体" panose="02010609060101010101" charset="-122"/>
                          <a:ea typeface="黑体" panose="02010609060101010101" charset="-122"/>
                          <a:cs typeface="Times New Roman" panose="02020503050405090304" pitchFamily="12"/>
                          <a:sym typeface="Times New Roman" panose="02020503050405090304" pitchFamily="12"/>
                        </a:rPr>
                        <a:t>中文｜字体名称</a:t>
                      </a:r>
                      <a:endPara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503050405090304" pitchFamily="12"/>
                        <a:sym typeface="Times New Roman" panose="02020503050405090304" pitchFamily="12"/>
                      </a:endParaRPr>
                    </a:p>
                  </xdr:txBody>
                </xdr:sp>
                <xdr:sp>
                  <xdr:nvSpPr>
                    <xdr:cNvPr id="21" name="文本框 20"/>
                    <xdr:cNvSpPr txBox="1"/>
                  </xdr:nvSpPr>
                  <xdr:spPr>
                    <a:xfrm>
                      <a:off x="10846" y="4702"/>
                      <a:ext cx="3052" cy="751"/>
                    </a:xfrm>
                    <a:prstGeom prst="rect">
                      <a:avLst/>
                    </a:prstGeom>
                    <a:noFill/>
                  </xdr:spPr>
                  <xdr:txBody>
                    <a:bodyPr wrap="square" rtlCol="0">
                      <a:spAutoFit/>
                    </a:bodyPr>
                    <a:lstStyle>
                      <a:defPPr>
                        <a:defRPr lang="zh-CN"/>
                      </a:defPPr>
                      <a:lvl1pPr marL="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100"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marL="0" algn="l" eaLnBrk="1"/>
                      <a:r>
                        <a:rPr lang="en-US" altLang="zh-CN" sz="2000" kern="1200">
                          <a:solidFill>
                            <a:srgbClr val="222222"/>
                          </a:solidFill>
                          <a:latin typeface="黑体" panose="02010609060101010101" charset="-122"/>
                          <a:ea typeface="黑体" panose="02010609060101010101" charset="-122"/>
                          <a:cs typeface="Times New Roman" panose="02020503050405090304" pitchFamily="12"/>
                          <a:sym typeface="Times New Roman" panose="02020503050405090304" pitchFamily="12"/>
                        </a:rPr>
                        <a:t>汉仪君黑-45简</a:t>
                      </a:r>
                      <a:endParaRPr lang="en-US" altLang="zh-CN" sz="2000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503050405090304" pitchFamily="12"/>
                        <a:sym typeface="Times New Roman" panose="02020503050405090304" pitchFamily="12"/>
                      </a:endParaRPr>
                    </a:p>
                  </xdr:txBody>
                </xdr:sp>
                <xdr:grpSp>
                  <xdr:nvGrpSpPr>
                    <xdr:cNvPr id="22" name="组合 21"/>
                    <xdr:cNvGrpSpPr/>
                  </xdr:nvGrpSpPr>
                  <xdr:grpSpPr>
                    <a:xfrm rot="0">
                      <a:off x="10730" y="2878"/>
                      <a:ext cx="3249" cy="1227"/>
                      <a:chOff x="1046" y="2210"/>
                      <a:chExt cx="3249" cy="1227"/>
                    </a:xfrm>
                  </xdr:grpSpPr>
                  <xdr:sp>
                    <xdr:nvSpPr>
                      <xdr:cNvPr id="23" name="文本框 22"/>
                      <xdr:cNvSpPr txBox="1"/>
                    </xdr:nvSpPr>
                    <xdr:spPr>
                      <a:xfrm>
                        <a:off x="1046" y="2210"/>
                        <a:ext cx="1505" cy="1227"/>
                      </a:xfrm>
                      <a:prstGeom prst="rect">
                        <a:avLst/>
                      </a:prstGeom>
                      <a:noFill/>
                    </xdr:spPr>
                    <xdr:txBody>
                      <a:bodyPr wrap="square" rtlCol="0">
                        <a:spAutoFit/>
                      </a:bodyPr>
                      <a:lstStyle>
                        <a:defPPr>
                          <a:defRPr lang="zh-CN"/>
                        </a:defPPr>
                        <a:lvl1pPr marL="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marL="0" algn="l" eaLnBrk="1"/>
                        <a:r>
                          <a:rPr lang="en-US" altLang="zh-CN" sz="3800" b="1" kern="1200">
                            <a:solidFill>
                              <a:srgbClr val="FF2832"/>
                            </a:solidFill>
                            <a:latin typeface="黑体" panose="02010609060101010101" charset="-122"/>
                            <a:ea typeface="黑体" panose="02010609060101010101" charset="-122"/>
                            <a:cs typeface="Times New Roman" panose="02020503050405090304" pitchFamily="12"/>
                            <a:sym typeface="Times New Roman" panose="02020503050405090304" pitchFamily="12"/>
                          </a:rPr>
                          <a:t>02</a:t>
                        </a:r>
                        <a:endParaRPr lang="en-US" altLang="zh-CN" sz="3800" b="1" kern="1200">
                          <a:solidFill>
                            <a:srgbClr val="FF2832"/>
                          </a:solidFill>
                          <a:latin typeface="黑体" panose="02010609060101010101" charset="-122"/>
                          <a:ea typeface="黑体" panose="02010609060101010101" charset="-122"/>
                          <a:cs typeface="Times New Roman" panose="02020503050405090304" pitchFamily="12"/>
                          <a:sym typeface="Times New Roman" panose="02020503050405090304" pitchFamily="12"/>
                        </a:endParaRPr>
                      </a:p>
                    </xdr:txBody>
                  </xdr:sp>
                  <xdr:sp>
                    <xdr:nvSpPr>
                      <xdr:cNvPr id="24" name="文本框 23"/>
                      <xdr:cNvSpPr txBox="1"/>
                    </xdr:nvSpPr>
                    <xdr:spPr>
                      <a:xfrm>
                        <a:off x="2013" y="2404"/>
                        <a:ext cx="2282" cy="734"/>
                      </a:xfrm>
                      <a:prstGeom prst="rect">
                        <a:avLst/>
                      </a:prstGeom>
                      <a:noFill/>
                    </xdr:spPr>
                    <xdr:txBody>
                      <a:bodyPr wrap="square" rtlCol="0">
                        <a:spAutoFit/>
                      </a:bodyPr>
                      <a:lstStyle>
                        <a:defPPr>
                          <a:defRPr lang="zh-CN"/>
                        </a:defPPr>
                        <a:lvl1pPr marL="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100"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marL="0" algn="l" eaLnBrk="1"/>
                        <a:r>
                          <a:rPr lang="en-US" altLang="zh-CN" sz="2200" b="1" kern="1200">
                            <a:solidFill>
                              <a:srgbClr val="222222"/>
                            </a:solidFill>
                            <a:latin typeface="黑体" panose="02010609060101010101" charset="-122"/>
                            <a:ea typeface="黑体" panose="02010609060101010101" charset="-122"/>
                            <a:cs typeface="Times New Roman" panose="02020503050405090304" pitchFamily="12"/>
                            <a:sym typeface="Times New Roman" panose="02020503050405090304" pitchFamily="12"/>
                          </a:rPr>
                          <a:t>字体说明</a:t>
                        </a:r>
                        <a:endParaRPr lang="en-US" altLang="zh-CN" sz="2200" b="1" kern="1200">
                          <a:solidFill>
                            <a:srgbClr val="222222"/>
                          </a:solidFill>
                          <a:latin typeface="黑体" panose="02010609060101010101" charset="-122"/>
                          <a:ea typeface="黑体" panose="02010609060101010101" charset="-122"/>
                          <a:cs typeface="Times New Roman" panose="02020503050405090304" pitchFamily="12"/>
                          <a:sym typeface="Times New Roman" panose="02020503050405090304" pitchFamily="12"/>
                        </a:endParaRPr>
                      </a:p>
                    </xdr:txBody>
                  </xdr:sp>
                </xdr:grpSp>
              </xdr:grpSp>
            </xdr:grpSp>
          </xdr:grpSp>
          <xdr:grpSp>
            <xdr:nvGrpSpPr>
              <xdr:cNvPr id="25" name="组合 24"/>
              <xdr:cNvGrpSpPr/>
            </xdr:nvGrpSpPr>
            <xdr:grpSpPr>
              <a:xfrm>
                <a:off x="10397" y="12593"/>
                <a:ext cx="5662" cy="4708"/>
                <a:chOff x="10398" y="12594"/>
                <a:chExt cx="5661" cy="4708"/>
              </a:xfrm>
            </xdr:grpSpPr>
            <xdr:grpSp>
              <xdr:nvGrpSpPr>
                <xdr:cNvPr id="26" name="组合 61"/>
                <xdr:cNvGrpSpPr/>
              </xdr:nvGrpSpPr>
              <xdr:grpSpPr>
                <a:xfrm rot="0">
                  <a:off x="10418" y="12594"/>
                  <a:ext cx="3854" cy="1573"/>
                  <a:chOff x="1213" y="2210"/>
                  <a:chExt cx="3140" cy="1228"/>
                </a:xfrm>
              </xdr:grpSpPr>
              <xdr:sp>
                <xdr:nvSpPr>
                  <xdr:cNvPr id="27" name="文本框 26"/>
                  <xdr:cNvSpPr txBox="1"/>
                </xdr:nvSpPr>
                <xdr:spPr>
                  <a:xfrm>
                    <a:off x="1213" y="2210"/>
                    <a:ext cx="1554" cy="1228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sz="3800" b="1" kern="1200">
                        <a:solidFill>
                          <a:srgbClr val="FF2832"/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503050405090304" pitchFamily="12"/>
                        <a:sym typeface="Times New Roman" panose="02020503050405090304" pitchFamily="12"/>
                      </a:rPr>
                      <a:t>03</a:t>
                    </a:r>
                    <a:endParaRPr lang="en-US" altLang="zh-CN" sz="3800" b="1" kern="1200">
                      <a:solidFill>
                        <a:srgbClr val="FF283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503050405090304" pitchFamily="12"/>
                      <a:sym typeface="Times New Roman" panose="02020503050405090304" pitchFamily="12"/>
                    </a:endParaRPr>
                  </a:p>
                </xdr:txBody>
              </xdr:sp>
              <xdr:sp>
                <xdr:nvSpPr>
                  <xdr:cNvPr id="28" name="文本框 27"/>
                  <xdr:cNvSpPr txBox="1"/>
                </xdr:nvSpPr>
                <xdr:spPr>
                  <a:xfrm>
                    <a:off x="2067" y="2404"/>
                    <a:ext cx="2286" cy="734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sz="2200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503050405090304" pitchFamily="12"/>
                        <a:sym typeface="Times New Roman" panose="02020503050405090304" pitchFamily="12"/>
                      </a:rPr>
                      <a:t>素材说明</a:t>
                    </a:r>
                    <a:endParaRPr lang="en-US" altLang="zh-CN" sz="2200" b="1" kern="1200">
                      <a:solidFill>
                        <a:srgbClr val="22222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503050405090304" pitchFamily="12"/>
                      <a:sym typeface="Times New Roman" panose="02020503050405090304" pitchFamily="12"/>
                    </a:endParaRPr>
                  </a:p>
                </xdr:txBody>
              </xdr:sp>
            </xdr:grpSp>
            <xdr:grpSp>
              <xdr:nvGrpSpPr>
                <xdr:cNvPr id="29" name="组合 69"/>
                <xdr:cNvGrpSpPr/>
              </xdr:nvGrpSpPr>
              <xdr:grpSpPr>
                <a:xfrm rot="0">
                  <a:off x="10410" y="13981"/>
                  <a:ext cx="5649" cy="1045"/>
                  <a:chOff x="7157" y="3565"/>
                  <a:chExt cx="4604" cy="816"/>
                </a:xfrm>
              </xdr:grpSpPr>
              <xdr:sp>
                <xdr:nvSpPr>
                  <xdr:cNvPr id="30" name="文本框 29"/>
                  <xdr:cNvSpPr txBox="1"/>
                </xdr:nvSpPr>
                <xdr:spPr>
                  <a:xfrm>
                    <a:off x="7157" y="3565"/>
                    <a:ext cx="1289" cy="431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503050405090304" pitchFamily="12"/>
                        <a:sym typeface="Times New Roman" panose="02020503050405090304" pitchFamily="12"/>
                      </a:rPr>
                      <a:t>图片：</a:t>
                    </a:r>
                    <a:endParaRPr lang="en-US" altLang="zh-CN" b="1" kern="1200">
                      <a:solidFill>
                        <a:srgbClr val="22222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503050405090304" pitchFamily="12"/>
                      <a:sym typeface="Times New Roman" panose="02020503050405090304" pitchFamily="12"/>
                    </a:endParaRPr>
                  </a:p>
                </xdr:txBody>
              </xdr:sp>
              <xdr:sp>
                <xdr:nvSpPr>
                  <xdr:cNvPr id="31" name="文本框 30"/>
                  <xdr:cNvSpPr txBox="1"/>
                </xdr:nvSpPr>
                <xdr:spPr>
                  <a:xfrm>
                    <a:off x="7158" y="4048"/>
                    <a:ext cx="4603" cy="333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 fontAlgn="t">
                      <a:lnSpc>
                        <a:spcPct val="100000"/>
                      </a:lnSpc>
                    </a:pP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+mn-ea"/>
                      </a:rPr>
                      <a:t>无</a:t>
                    </a:r>
                    <a:endParaRPr lang="zh-CN" altLang="en-US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+mn-ea"/>
                    </a:endParaRPr>
                  </a:p>
                </xdr:txBody>
              </xdr:sp>
            </xdr:grpSp>
            <xdr:grpSp>
              <xdr:nvGrpSpPr>
                <xdr:cNvPr id="32" name="组合 77"/>
                <xdr:cNvGrpSpPr/>
              </xdr:nvGrpSpPr>
              <xdr:grpSpPr>
                <a:xfrm rot="0">
                  <a:off x="10398" y="16292"/>
                  <a:ext cx="5651" cy="1010"/>
                  <a:chOff x="7147" y="5903"/>
                  <a:chExt cx="4606" cy="792"/>
                </a:xfrm>
              </xdr:grpSpPr>
              <xdr:sp>
                <xdr:nvSpPr>
                  <xdr:cNvPr id="33" name="文本框 32"/>
                  <xdr:cNvSpPr txBox="1"/>
                </xdr:nvSpPr>
                <xdr:spPr>
                  <a:xfrm>
                    <a:off x="7171" y="5903"/>
                    <a:ext cx="1287" cy="431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Times New Roman" panose="02020503050405090304" pitchFamily="12"/>
                        <a:sym typeface="Times New Roman" panose="02020503050405090304" pitchFamily="12"/>
                      </a:rPr>
                      <a:t>素材：</a:t>
                    </a:r>
                    <a:endParaRPr lang="en-US" altLang="zh-CN" b="1" kern="1200">
                      <a:solidFill>
                        <a:srgbClr val="22222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503050405090304" pitchFamily="12"/>
                      <a:sym typeface="Times New Roman" panose="02020503050405090304" pitchFamily="12"/>
                    </a:endParaRPr>
                  </a:p>
                </xdr:txBody>
              </xdr:sp>
              <xdr:sp>
                <xdr:nvSpPr>
                  <xdr:cNvPr id="34" name="文本框 33"/>
                  <xdr:cNvSpPr txBox="1"/>
                </xdr:nvSpPr>
                <xdr:spPr>
                  <a:xfrm>
                    <a:off x="7147" y="6320"/>
                    <a:ext cx="4606" cy="375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fontAlgn="t">
                      <a:lnSpc>
                        <a:spcPct val="120000"/>
                      </a:lnSpc>
                    </a:pP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+mn-ea"/>
                      </a:rPr>
                      <a:t>无</a:t>
                    </a:r>
                    <a:endParaRPr lang="zh-CN" altLang="en-US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+mn-ea"/>
                    </a:endParaRPr>
                  </a:p>
                </xdr:txBody>
              </xdr:sp>
            </xdr:grpSp>
          </xdr:grpSp>
        </xdr:grpSp>
        <xdr:grpSp>
          <xdr:nvGrpSpPr>
            <xdr:cNvPr id="35" name="组合 34"/>
            <xdr:cNvGrpSpPr/>
          </xdr:nvGrpSpPr>
          <xdr:grpSpPr>
            <a:xfrm>
              <a:off x="2254" y="3254"/>
              <a:ext cx="6654" cy="8080"/>
              <a:chOff x="2254" y="3254"/>
              <a:chExt cx="6655" cy="8081"/>
            </a:xfrm>
          </xdr:grpSpPr>
          <xdr:grpSp>
            <xdr:nvGrpSpPr>
              <xdr:cNvPr id="36" name="组合 35"/>
              <xdr:cNvGrpSpPr/>
            </xdr:nvGrpSpPr>
            <xdr:grpSpPr>
              <a:xfrm rot="0">
                <a:off x="2254" y="3254"/>
                <a:ext cx="4858" cy="1190"/>
                <a:chOff x="1212" y="2209"/>
                <a:chExt cx="4839" cy="1158"/>
              </a:xfrm>
            </xdr:grpSpPr>
            <xdr:sp>
              <xdr:nvSpPr>
                <xdr:cNvPr id="37" name="文本框 36"/>
                <xdr:cNvSpPr txBox="1"/>
              </xdr:nvSpPr>
              <xdr:spPr>
                <a:xfrm>
                  <a:off x="1212" y="2209"/>
                  <a:ext cx="1555" cy="1158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algn="l" eaLnBrk="1"/>
                  <a:r>
                    <a:rPr lang="en-US" altLang="zh-CN" sz="3800" b="1" kern="1200">
                      <a:solidFill>
                        <a:srgbClr val="FF283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503050405090304" pitchFamily="12"/>
                      <a:sym typeface="Times New Roman" panose="02020503050405090304" pitchFamily="12"/>
                    </a:rPr>
                    <a:t>01</a:t>
                  </a:r>
                  <a:endParaRPr lang="en-US" altLang="zh-CN" sz="3800" b="1" kern="1200">
                    <a:solidFill>
                      <a:srgbClr val="FF283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503050405090304" pitchFamily="12"/>
                    <a:sym typeface="Times New Roman" panose="02020503050405090304" pitchFamily="12"/>
                  </a:endParaRPr>
                </a:p>
              </xdr:txBody>
            </xdr:sp>
            <xdr:sp>
              <xdr:nvSpPr>
                <xdr:cNvPr id="38" name="文本框 37"/>
                <xdr:cNvSpPr txBox="1"/>
              </xdr:nvSpPr>
              <xdr:spPr>
                <a:xfrm>
                  <a:off x="2218" y="2404"/>
                  <a:ext cx="3833" cy="731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algn="l" eaLnBrk="1">
                    <a:buClrTx/>
                    <a:buSzTx/>
                    <a:buFontTx/>
                  </a:pPr>
                  <a:r>
                    <a:rPr lang="en-US" altLang="zh-CN" sz="2200" b="1" kern="1200">
                      <a:solidFill>
                        <a:srgbClr val="22222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503050405090304" pitchFamily="12"/>
                      <a:sym typeface="Times New Roman" panose="02020503050405090304" pitchFamily="12"/>
                    </a:rPr>
                    <a:t>基础操作</a:t>
                  </a:r>
                  <a:r>
                    <a:rPr lang="zh-CN" altLang="en-US" sz="2200" b="1" kern="1200">
                      <a:solidFill>
                        <a:srgbClr val="22222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503050405090304" pitchFamily="12"/>
                      <a:sym typeface="Times New Roman" panose="02020503050405090304" pitchFamily="12"/>
                    </a:rPr>
                    <a:t>指南</a:t>
                  </a:r>
                  <a:endParaRPr lang="en-US" altLang="zh-CN" sz="22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503050405090304" pitchFamily="12"/>
                    <a:sym typeface="Times New Roman" panose="02020503050405090304" pitchFamily="12"/>
                  </a:endParaRPr>
                </a:p>
              </xdr:txBody>
            </xdr:sp>
          </xdr:grpSp>
          <xdr:grpSp>
            <xdr:nvGrpSpPr>
              <xdr:cNvPr id="39" name="组合 38"/>
              <xdr:cNvGrpSpPr/>
            </xdr:nvGrpSpPr>
            <xdr:grpSpPr>
              <a:xfrm>
                <a:off x="2346" y="4668"/>
                <a:ext cx="6563" cy="6667"/>
                <a:chOff x="2346" y="4669"/>
                <a:chExt cx="6564" cy="6667"/>
              </a:xfrm>
            </xdr:grpSpPr>
            <xdr:pic>
              <xdr:nvPicPr>
                <xdr:cNvPr id="40" name="图片 39"/>
                <xdr:cNvPicPr>
                  <a:picLocks noChangeAspect="1"/>
                </xdr:cNvPicPr>
              </xdr:nvPicPr>
              <xdr:blipFill>
                <a:blip r:embed="rId1"/>
                <a:stretch>
                  <a:fillRect/>
                </a:stretch>
              </xdr:blipFill>
              <xdr:spPr>
                <a:xfrm>
                  <a:off x="2413" y="8335"/>
                  <a:ext cx="4845" cy="2023"/>
                </a:xfrm>
                <a:prstGeom prst="rect">
                  <a:avLst/>
                </a:prstGeom>
                <a:noFill/>
                <a:ln w="9525">
                  <a:noFill/>
                </a:ln>
              </xdr:spPr>
            </xdr:pic>
            <xdr:grpSp>
              <xdr:nvGrpSpPr>
                <xdr:cNvPr id="41" name="组合 69"/>
                <xdr:cNvGrpSpPr/>
              </xdr:nvGrpSpPr>
              <xdr:grpSpPr>
                <a:xfrm rot="0">
                  <a:off x="2364" y="4669"/>
                  <a:ext cx="4670" cy="1042"/>
                  <a:chOff x="7139" y="3569"/>
                  <a:chExt cx="4652" cy="1008"/>
                </a:xfrm>
              </xdr:grpSpPr>
              <xdr:sp>
                <xdr:nvSpPr>
                  <xdr:cNvPr id="42" name="文本框 41"/>
                  <xdr:cNvSpPr txBox="1"/>
                </xdr:nvSpPr>
                <xdr:spPr>
                  <a:xfrm>
                    <a:off x="7139" y="3569"/>
                    <a:ext cx="3308" cy="441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· </a:t>
                    </a:r>
                    <a:r>
                      <a:rPr lang="zh-CN" altLang="en-US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如何撤销工作表保护？</a:t>
                    </a:r>
                    <a:endParaRPr lang="en-US" altLang="zh-CN" kern="100"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503050405090304" pitchFamily="12"/>
                    </a:endParaRPr>
                  </a:p>
                </xdr:txBody>
              </xdr:sp>
              <xdr:sp>
                <xdr:nvSpPr>
                  <xdr:cNvPr id="43" name="文本框 42"/>
                  <xdr:cNvSpPr txBox="1"/>
                </xdr:nvSpPr>
                <xdr:spPr>
                  <a:xfrm>
                    <a:off x="7197" y="3960"/>
                    <a:ext cx="4594" cy="617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1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、</a:t>
                    </a: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选中对应工作表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。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503050405090304" pitchFamily="12"/>
                    </a:endParaRPr>
                  </a:p>
                  <a:p>
                    <a:pPr marL="0" algn="l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2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、</a:t>
                    </a: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点击：「审阅---撤销工作表」保护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。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503050405090304" pitchFamily="12"/>
                    </a:endParaRPr>
                  </a:p>
                </xdr:txBody>
              </xdr:sp>
            </xdr:grpSp>
            <xdr:grpSp>
              <xdr:nvGrpSpPr>
                <xdr:cNvPr id="44" name="组合 77"/>
                <xdr:cNvGrpSpPr/>
              </xdr:nvGrpSpPr>
              <xdr:grpSpPr>
                <a:xfrm rot="0">
                  <a:off x="2346" y="7455"/>
                  <a:ext cx="5505" cy="1023"/>
                  <a:chOff x="7127" y="5903"/>
                  <a:chExt cx="5482" cy="1014"/>
                </a:xfrm>
              </xdr:grpSpPr>
              <xdr:sp>
                <xdr:nvSpPr>
                  <xdr:cNvPr id="45" name="文本框 44"/>
                  <xdr:cNvSpPr txBox="1"/>
                </xdr:nvSpPr>
                <xdr:spPr>
                  <a:xfrm>
                    <a:off x="7127" y="5903"/>
                    <a:ext cx="2426" cy="438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· </a:t>
                    </a:r>
                    <a:r>
                      <a:rPr lang="zh-CN" altLang="en-US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如何增加行数？</a:t>
                    </a:r>
                    <a:endParaRPr lang="en-US" altLang="zh-CN" kern="100"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503050405090304" pitchFamily="12"/>
                    </a:endParaRPr>
                  </a:p>
                </xdr:txBody>
              </xdr:sp>
              <xdr:sp>
                <xdr:nvSpPr>
                  <xdr:cNvPr id="46" name="文本框 45"/>
                  <xdr:cNvSpPr txBox="1"/>
                </xdr:nvSpPr>
                <xdr:spPr>
                  <a:xfrm>
                    <a:off x="7197" y="6292"/>
                    <a:ext cx="5412" cy="625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1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、选中最后一行，鼠标放在选中区域右下角。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503050405090304" pitchFamily="12"/>
                    </a:endParaRPr>
                  </a:p>
                  <a:p>
                    <a:pPr marL="0" algn="l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2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、当鼠标箭头变成黑色十字形时，点击鼠标左键下拉即可</a:t>
                    </a: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。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503050405090304" pitchFamily="12"/>
                    </a:endParaRPr>
                  </a:p>
                </xdr:txBody>
              </xdr:sp>
            </xdr:grpSp>
            <xdr:pic>
              <xdr:nvPicPr>
                <xdr:cNvPr id="47" name="图片 46" descr="WPS图片编辑4"/>
                <xdr:cNvPicPr>
                  <a:picLocks noChangeAspect="1"/>
                </xdr:cNvPicPr>
              </xdr:nvPicPr>
              <xdr:blipFill>
                <a:blip r:embed="rId2"/>
                <a:stretch>
                  <a:fillRect/>
                </a:stretch>
              </xdr:blipFill>
              <xdr:spPr>
                <a:xfrm>
                  <a:off x="2539" y="5802"/>
                  <a:ext cx="6371" cy="1143"/>
                </a:xfrm>
                <a:prstGeom prst="rect">
                  <a:avLst/>
                </a:prstGeom>
                <a:effectLst>
                  <a:outerShdw blurRad="38100" sx="101000" sy="101000" algn="ctr" rotWithShape="0">
                    <a:schemeClr val="bg1">
                      <a:lumMod val="75000"/>
                      <a:alpha val="40000"/>
                    </a:schemeClr>
                  </a:outerShdw>
                </a:effectLst>
              </xdr:spPr>
            </xdr:pic>
            <xdr:grpSp>
              <xdr:nvGrpSpPr>
                <xdr:cNvPr id="48" name="组合 77"/>
                <xdr:cNvGrpSpPr/>
              </xdr:nvGrpSpPr>
              <xdr:grpSpPr>
                <a:xfrm rot="0">
                  <a:off x="2362" y="10512"/>
                  <a:ext cx="4672" cy="824"/>
                  <a:chOff x="7138" y="5903"/>
                  <a:chExt cx="4652" cy="799"/>
                </a:xfrm>
              </xdr:grpSpPr>
              <xdr:sp>
                <xdr:nvSpPr>
                  <xdr:cNvPr id="49" name="文本框 48"/>
                  <xdr:cNvSpPr txBox="1"/>
                </xdr:nvSpPr>
                <xdr:spPr>
                  <a:xfrm>
                    <a:off x="7138" y="5903"/>
                    <a:ext cx="4408" cy="423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/>
                    <a:r>
                      <a:rPr lang="en-US" altLang="zh-CN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· </a:t>
                    </a:r>
                    <a:r>
                      <a:rPr lang="zh-CN" altLang="en-US" b="1" kern="1200">
                        <a:solidFill>
                          <a:srgbClr val="222222"/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请在此处输入表格使用说明问题。</a:t>
                    </a:r>
                    <a:endParaRPr lang="en-US" altLang="zh-CN" kern="100"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503050405090304" pitchFamily="12"/>
                    </a:endParaRPr>
                  </a:p>
                </xdr:txBody>
              </xdr:sp>
              <xdr:sp>
                <xdr:nvSpPr>
                  <xdr:cNvPr id="50" name="文本框 49"/>
                  <xdr:cNvSpPr txBox="1"/>
                </xdr:nvSpPr>
                <xdr:spPr>
                  <a:xfrm>
                    <a:off x="7197" y="6290"/>
                    <a:ext cx="4593" cy="412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zh-CN"/>
                    </a:defPPr>
                    <a:lvl1pPr marL="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algn="l" eaLnBrk="1" fontAlgn="t">
                      <a:lnSpc>
                        <a:spcPct val="100000"/>
                      </a:lnSpc>
                    </a:pPr>
                    <a:r>
                      <a:rPr lang="en-US" altLang="zh-CN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1</a:t>
                    </a:r>
                    <a:r>
                      <a:rPr lang="zh-CN" altLang="en-US" sz="900" kern="1200">
                        <a:solidFill>
                          <a:srgbClr val="222222">
                            <a:alpha val="60000"/>
                          </a:srgbClr>
                        </a:solidFill>
                        <a:latin typeface="黑体" panose="02010609060101010101" charset="-122"/>
                        <a:ea typeface="黑体" panose="02010609060101010101" charset="-122"/>
                        <a:cs typeface="黑体" panose="02010609060101010101" charset="-122"/>
                        <a:sym typeface="Times New Roman" panose="02020503050405090304" pitchFamily="12"/>
                      </a:rPr>
                      <a:t>、清除表格中数据，填入实际内容即可。</a:t>
                    </a:r>
                    <a:endPara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黑体" panose="02010609060101010101" charset="-122"/>
                      <a:ea typeface="黑体" panose="02010609060101010101" charset="-122"/>
                      <a:cs typeface="黑体" panose="02010609060101010101" charset="-122"/>
                      <a:sym typeface="Times New Roman" panose="02020503050405090304" pitchFamily="12"/>
                    </a:endParaRPr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angqifu@nexchip.com.cn" TargetMode="External"/><Relationship Id="rId2" Type="http://schemas.openxmlformats.org/officeDocument/2006/relationships/hyperlink" Target="mailto:Dennis@sealos.io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1:M26"/>
  <sheetViews>
    <sheetView showGridLines="0" tabSelected="1" zoomScale="115" zoomScaleNormal="115" workbookViewId="0">
      <selection activeCell="N19" sqref="N19"/>
    </sheetView>
  </sheetViews>
  <sheetFormatPr defaultColWidth="12.625" defaultRowHeight="18" customHeight="1"/>
  <cols>
    <col min="1" max="1" width="2.5" style="4" customWidth="1"/>
    <col min="2" max="2" width="10.75" style="4" customWidth="1"/>
    <col min="3" max="3" width="25.4903846153846" style="4" customWidth="1"/>
    <col min="4" max="4" width="26.4807692307692" style="4" customWidth="1"/>
    <col min="5" max="5" width="27.5865384615385" style="4" customWidth="1"/>
    <col min="6" max="6" width="12.625" style="4" customWidth="1"/>
    <col min="7" max="7" width="20.4711538461538" style="4" customWidth="1"/>
    <col min="8" max="8" width="19.2211538461538" style="4" customWidth="1"/>
    <col min="9" max="10" width="16.9903846153846" style="4" customWidth="1"/>
    <col min="11" max="11" width="9.375" style="4" customWidth="1"/>
    <col min="12" max="12" width="9.25" style="4" customWidth="1"/>
    <col min="13" max="16384" width="12.625" style="4" customWidth="1"/>
  </cols>
  <sheetData>
    <row r="1" ht="27" customHeight="1" spans="3:12">
      <c r="C1" s="5"/>
      <c r="D1" s="5"/>
      <c r="E1" s="5"/>
      <c r="F1" s="5"/>
      <c r="G1" s="5"/>
      <c r="H1" s="5"/>
      <c r="I1" s="5"/>
      <c r="J1" s="5"/>
      <c r="K1" s="5"/>
      <c r="L1" s="5"/>
    </row>
    <row r="2" ht="26" customHeight="1" spans="2:12">
      <c r="B2" s="6" t="s">
        <v>0</v>
      </c>
      <c r="C2" s="6"/>
      <c r="D2" s="6"/>
      <c r="E2" s="6"/>
      <c r="F2" s="36"/>
      <c r="G2" s="37" t="s">
        <v>1</v>
      </c>
      <c r="H2" s="37"/>
      <c r="I2" s="37"/>
      <c r="J2" s="37"/>
      <c r="K2" s="37"/>
      <c r="L2" s="37"/>
    </row>
    <row r="3" ht="20" customHeight="1" spans="2:12">
      <c r="B3" s="7" t="s">
        <v>2</v>
      </c>
      <c r="C3" s="8" t="s">
        <v>3</v>
      </c>
      <c r="F3" s="36"/>
      <c r="G3" s="37"/>
      <c r="H3" s="37"/>
      <c r="I3" s="37"/>
      <c r="J3" s="37"/>
      <c r="K3" s="37"/>
      <c r="L3" s="37"/>
    </row>
    <row r="4" ht="20" customHeight="1" spans="2:12">
      <c r="B4" s="7" t="s">
        <v>4</v>
      </c>
      <c r="C4" s="9" t="s">
        <v>5</v>
      </c>
      <c r="F4" s="36"/>
      <c r="G4" s="37"/>
      <c r="H4" s="37"/>
      <c r="I4" s="37"/>
      <c r="J4" s="37"/>
      <c r="K4" s="37"/>
      <c r="L4" s="37"/>
    </row>
    <row r="5" ht="20" customHeight="1" spans="2:12">
      <c r="B5" s="7" t="s">
        <v>6</v>
      </c>
      <c r="C5" s="10" t="s">
        <v>7</v>
      </c>
      <c r="F5" s="36"/>
      <c r="G5" s="37"/>
      <c r="H5" s="37"/>
      <c r="I5" s="37"/>
      <c r="J5" s="37"/>
      <c r="K5" s="37"/>
      <c r="L5" s="37"/>
    </row>
    <row r="6" ht="11" customHeight="1" spans="2:12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ht="20" customHeight="1" spans="2:11">
      <c r="B7" s="4" t="s">
        <v>8</v>
      </c>
      <c r="C7" s="12" t="s">
        <v>9</v>
      </c>
      <c r="D7" s="12"/>
      <c r="E7" s="4" t="s">
        <v>10</v>
      </c>
      <c r="F7" s="12" t="s">
        <v>11</v>
      </c>
      <c r="G7" s="12"/>
      <c r="H7" s="4" t="s">
        <v>12</v>
      </c>
      <c r="I7" s="46"/>
      <c r="J7" s="12">
        <v>15110694624</v>
      </c>
      <c r="K7" s="12"/>
    </row>
    <row r="8" ht="20" customHeight="1" spans="2:11">
      <c r="B8" s="4" t="s">
        <v>13</v>
      </c>
      <c r="C8" s="13">
        <v>45961</v>
      </c>
      <c r="D8" s="12"/>
      <c r="E8" s="4" t="s">
        <v>14</v>
      </c>
      <c r="F8" s="13">
        <v>45991</v>
      </c>
      <c r="G8" s="12"/>
      <c r="H8" s="4" t="s">
        <v>15</v>
      </c>
      <c r="J8" s="12" t="s">
        <v>16</v>
      </c>
      <c r="K8" s="12"/>
    </row>
    <row r="9" ht="19.15"/>
    <row r="10" s="3" customFormat="1" ht="30" customHeight="1" spans="2:12">
      <c r="B10" s="14" t="s">
        <v>17</v>
      </c>
      <c r="C10" s="15" t="s">
        <v>18</v>
      </c>
      <c r="D10" s="15" t="s">
        <v>19</v>
      </c>
      <c r="E10" s="15" t="s">
        <v>20</v>
      </c>
      <c r="F10" s="15" t="s">
        <v>21</v>
      </c>
      <c r="G10" s="15" t="s">
        <v>22</v>
      </c>
      <c r="H10" s="15" t="s">
        <v>23</v>
      </c>
      <c r="I10" s="15" t="s">
        <v>24</v>
      </c>
      <c r="J10" s="15" t="s">
        <v>25</v>
      </c>
      <c r="K10" s="15" t="s">
        <v>26</v>
      </c>
      <c r="L10" s="47"/>
    </row>
    <row r="11" ht="44" customHeight="1" spans="2:12">
      <c r="B11" s="16">
        <v>1</v>
      </c>
      <c r="C11" s="17" t="s">
        <v>27</v>
      </c>
      <c r="D11" s="17" t="s">
        <v>28</v>
      </c>
      <c r="E11" s="38">
        <v>1</v>
      </c>
      <c r="F11" s="38" t="s">
        <v>29</v>
      </c>
      <c r="G11" s="39">
        <v>566666.65</v>
      </c>
      <c r="H11" s="40">
        <f>G11/(1+$K$16)</f>
        <v>501474.911504425</v>
      </c>
      <c r="I11" s="40">
        <v>0.3</v>
      </c>
      <c r="J11" s="40">
        <f>E11*G11*I11</f>
        <v>169999.995</v>
      </c>
      <c r="K11" s="38"/>
      <c r="L11" s="48"/>
    </row>
    <row r="12" ht="20" customHeight="1" spans="2:12">
      <c r="B12" s="18">
        <v>2</v>
      </c>
      <c r="C12" s="19" t="s">
        <v>30</v>
      </c>
      <c r="D12" s="19" t="s">
        <v>31</v>
      </c>
      <c r="E12" s="19">
        <v>20</v>
      </c>
      <c r="F12" s="19" t="s">
        <v>32</v>
      </c>
      <c r="G12" s="41">
        <v>2900</v>
      </c>
      <c r="H12" s="42">
        <f>G12/(1+$K$17)</f>
        <v>2735.84905660377</v>
      </c>
      <c r="I12" s="42">
        <v>1</v>
      </c>
      <c r="J12" s="42">
        <f>I12*G12*E12</f>
        <v>58000</v>
      </c>
      <c r="K12" s="49"/>
      <c r="L12" s="50"/>
    </row>
    <row r="13" ht="20" customHeight="1" spans="2:12">
      <c r="B13" s="16">
        <v>3</v>
      </c>
      <c r="C13" s="16" t="s">
        <v>33</v>
      </c>
      <c r="D13" s="16" t="s">
        <v>34</v>
      </c>
      <c r="E13" s="16">
        <v>51</v>
      </c>
      <c r="F13" s="16" t="s">
        <v>32</v>
      </c>
      <c r="G13" s="43">
        <v>1800</v>
      </c>
      <c r="H13" s="16">
        <f>G13/(1+$K$16)</f>
        <v>1592.9203539823</v>
      </c>
      <c r="I13" s="40">
        <v>1</v>
      </c>
      <c r="J13" s="40">
        <f>E13*G13*I13</f>
        <v>91800</v>
      </c>
      <c r="K13" s="51"/>
      <c r="L13" s="52"/>
    </row>
    <row r="14" ht="21" customHeight="1" spans="2:12">
      <c r="B14" s="18">
        <v>4</v>
      </c>
      <c r="C14" s="19" t="s">
        <v>35</v>
      </c>
      <c r="D14" s="19" t="s">
        <v>36</v>
      </c>
      <c r="E14" s="19">
        <v>24</v>
      </c>
      <c r="F14" s="19" t="s">
        <v>32</v>
      </c>
      <c r="G14" s="41">
        <v>1300</v>
      </c>
      <c r="H14" s="42">
        <f>G14/(1+$K$17)</f>
        <v>1226.41509433962</v>
      </c>
      <c r="I14" s="42">
        <v>1</v>
      </c>
      <c r="J14" s="42">
        <f>I14*G14*E14</f>
        <v>31200</v>
      </c>
      <c r="K14" s="49"/>
      <c r="L14" s="50"/>
    </row>
    <row r="15" ht="43" customHeight="1" spans="2:12">
      <c r="B15" s="20" t="s">
        <v>37</v>
      </c>
      <c r="C15" s="21"/>
      <c r="D15" s="22">
        <f>H15</f>
        <v>350999.995</v>
      </c>
      <c r="E15" s="22"/>
      <c r="F15" s="21" t="s">
        <v>38</v>
      </c>
      <c r="G15" s="21"/>
      <c r="H15" s="44">
        <f>SUM(J11:J14)</f>
        <v>350999.995</v>
      </c>
      <c r="I15" s="44"/>
      <c r="J15" s="44"/>
      <c r="K15" s="44"/>
      <c r="L15" s="53"/>
    </row>
    <row r="16" ht="23" customHeight="1" spans="2:12">
      <c r="B16" s="23" t="s">
        <v>39</v>
      </c>
      <c r="C16" s="24" t="s">
        <v>40</v>
      </c>
      <c r="D16" s="25"/>
      <c r="E16" s="25"/>
      <c r="F16" s="25"/>
      <c r="G16" s="25"/>
      <c r="H16" s="25"/>
      <c r="I16" s="54"/>
      <c r="J16" s="55" t="s">
        <v>41</v>
      </c>
      <c r="K16" s="56">
        <v>0.13</v>
      </c>
      <c r="L16" s="57"/>
    </row>
    <row r="17" ht="23" customHeight="1" spans="2:12">
      <c r="B17" s="26"/>
      <c r="C17" s="27" t="s">
        <v>42</v>
      </c>
      <c r="D17" s="28"/>
      <c r="E17" s="28"/>
      <c r="F17" s="28"/>
      <c r="G17" s="28"/>
      <c r="H17" s="28"/>
      <c r="I17" s="58"/>
      <c r="J17" s="55" t="s">
        <v>41</v>
      </c>
      <c r="K17" s="56">
        <v>0.06</v>
      </c>
      <c r="L17" s="57"/>
    </row>
    <row r="18" ht="23" customHeight="1" spans="2:12">
      <c r="B18" s="26"/>
      <c r="C18" s="24" t="s">
        <v>43</v>
      </c>
      <c r="D18" s="25"/>
      <c r="E18" s="25"/>
      <c r="F18" s="25"/>
      <c r="G18" s="25"/>
      <c r="H18" s="25"/>
      <c r="I18" s="54"/>
      <c r="J18" s="55" t="s">
        <v>44</v>
      </c>
      <c r="K18" s="59">
        <f>H15-K19</f>
        <v>321197.195</v>
      </c>
      <c r="L18" s="60"/>
    </row>
    <row r="19" ht="23" customHeight="1" spans="2:12">
      <c r="B19" s="26"/>
      <c r="C19" s="24" t="s">
        <v>45</v>
      </c>
      <c r="D19" s="25"/>
      <c r="E19" s="25"/>
      <c r="F19" s="25"/>
      <c r="G19" s="25"/>
      <c r="H19" s="25"/>
      <c r="I19" s="54"/>
      <c r="J19" s="55" t="s">
        <v>46</v>
      </c>
      <c r="K19" s="59">
        <f>19557.52+10245.28</f>
        <v>29802.8</v>
      </c>
      <c r="L19" s="60"/>
    </row>
    <row r="20" ht="23" customHeight="1" spans="2:12">
      <c r="B20" s="26"/>
      <c r="C20" s="29" t="s">
        <v>47</v>
      </c>
      <c r="D20" s="30"/>
      <c r="E20" s="30"/>
      <c r="F20" s="30"/>
      <c r="G20" s="30"/>
      <c r="H20" s="30"/>
      <c r="I20" s="61"/>
      <c r="J20" s="62" t="s">
        <v>48</v>
      </c>
      <c r="K20" s="63">
        <f>H15</f>
        <v>350999.995</v>
      </c>
      <c r="L20" s="64"/>
    </row>
    <row r="21" ht="23" customHeight="1" spans="2:12">
      <c r="B21" s="31"/>
      <c r="C21" s="32" t="s">
        <v>49</v>
      </c>
      <c r="D21" s="33"/>
      <c r="E21" s="33"/>
      <c r="F21" s="33"/>
      <c r="G21" s="33"/>
      <c r="H21" s="33"/>
      <c r="I21" s="65"/>
      <c r="J21" s="66"/>
      <c r="K21" s="67"/>
      <c r="L21" s="68"/>
    </row>
    <row r="22" ht="20" customHeight="1"/>
    <row r="23" ht="25" customHeight="1" spans="2:13">
      <c r="B23" s="4" t="s">
        <v>50</v>
      </c>
      <c r="C23" s="4" t="s">
        <v>16</v>
      </c>
      <c r="D23" s="34"/>
      <c r="E23" s="34"/>
      <c r="G23" s="4" t="s">
        <v>51</v>
      </c>
      <c r="H23" s="45" t="s">
        <v>0</v>
      </c>
      <c r="M23" s="34"/>
    </row>
    <row r="24" ht="20" customHeight="1" spans="2:3">
      <c r="B24" s="7"/>
      <c r="C24" s="8"/>
    </row>
    <row r="25" ht="20" customHeight="1" spans="2:11">
      <c r="B25" s="7"/>
      <c r="C25" s="9"/>
      <c r="K25" s="69"/>
    </row>
    <row r="26" customHeight="1" spans="2:11">
      <c r="B26" s="7"/>
      <c r="C26" s="35"/>
      <c r="K26" s="69"/>
    </row>
  </sheetData>
  <mergeCells count="30">
    <mergeCell ref="B2:E2"/>
    <mergeCell ref="C7:D7"/>
    <mergeCell ref="F7:G7"/>
    <mergeCell ref="J7:K7"/>
    <mergeCell ref="C8:D8"/>
    <mergeCell ref="F8:G8"/>
    <mergeCell ref="J8:K8"/>
    <mergeCell ref="K10:L10"/>
    <mergeCell ref="K11:L11"/>
    <mergeCell ref="K12:L12"/>
    <mergeCell ref="K13:L13"/>
    <mergeCell ref="K14:L14"/>
    <mergeCell ref="B15:C15"/>
    <mergeCell ref="D15:E15"/>
    <mergeCell ref="F15:G15"/>
    <mergeCell ref="H15:L15"/>
    <mergeCell ref="C16:I16"/>
    <mergeCell ref="K16:L16"/>
    <mergeCell ref="C17:I17"/>
    <mergeCell ref="K17:L17"/>
    <mergeCell ref="C18:I18"/>
    <mergeCell ref="K18:L18"/>
    <mergeCell ref="C19:I19"/>
    <mergeCell ref="K19:L19"/>
    <mergeCell ref="C20:I20"/>
    <mergeCell ref="C21:I21"/>
    <mergeCell ref="B16:B21"/>
    <mergeCell ref="J20:J21"/>
    <mergeCell ref="G2:L5"/>
    <mergeCell ref="K20:L21"/>
  </mergeCells>
  <hyperlinks>
    <hyperlink ref="C5" r:id="rId2" display="Dennis@sealos.io"/>
    <hyperlink ref="J7" r:id="rId3" display="15110694624"/>
  </hyperlinks>
  <printOptions horizontalCentered="1"/>
  <pageMargins left="0.393055555555556" right="0.393055555555556" top="0.196527777777778" bottom="0.314583333333333" header="0" footer="0"/>
  <pageSetup paperSize="9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2"/>
  <sheetViews>
    <sheetView showGridLines="0" zoomScale="80" zoomScaleNormal="80" topLeftCell="A9" workbookViewId="0">
      <selection activeCell="R35" sqref="Q35:R35"/>
    </sheetView>
  </sheetViews>
  <sheetFormatPr defaultColWidth="8.89423076923077" defaultRowHeight="16.8"/>
  <cols>
    <col min="1" max="16384" width="8.89423076923077" style="1"/>
  </cols>
  <sheetData>
    <row r="1" spans="1:9">
      <c r="A1" s="2"/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21">
      <c r="A3" s="2"/>
      <c r="B3" s="2"/>
      <c r="C3" s="2"/>
      <c r="D3" s="2"/>
      <c r="E3" s="2"/>
      <c r="F3" s="2"/>
      <c r="G3" s="2"/>
      <c r="H3" s="2"/>
      <c r="I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2"/>
      <c r="B4" s="2"/>
      <c r="C4" s="2"/>
      <c r="D4" s="2"/>
      <c r="E4" s="2"/>
      <c r="F4" s="2"/>
      <c r="G4" s="2"/>
      <c r="H4" s="2"/>
      <c r="I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/>
      <c r="B5" s="2"/>
      <c r="C5" s="2"/>
      <c r="D5" s="2"/>
      <c r="E5" s="2"/>
      <c r="F5" s="2"/>
      <c r="G5" s="2"/>
      <c r="H5" s="2"/>
      <c r="I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/>
      <c r="B6" s="2"/>
      <c r="C6" s="2"/>
      <c r="D6" s="2"/>
      <c r="E6" s="2"/>
      <c r="F6" s="2"/>
      <c r="G6" s="2"/>
      <c r="H6" s="2"/>
      <c r="I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2"/>
      <c r="C7" s="2"/>
      <c r="D7" s="2"/>
      <c r="E7" s="2"/>
      <c r="F7" s="2"/>
      <c r="G7" s="2"/>
      <c r="H7" s="2"/>
      <c r="I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M14" s="2"/>
      <c r="N14" s="2"/>
      <c r="O14" s="2"/>
      <c r="P14" s="2"/>
      <c r="Q14" s="2"/>
      <c r="R14" s="2"/>
      <c r="S14" s="2"/>
      <c r="T14" s="2"/>
      <c r="U14" s="2"/>
    </row>
    <row r="15" spans="1:40">
      <c r="A15" s="2"/>
      <c r="B15" s="2"/>
      <c r="C15" s="2"/>
      <c r="D15" s="2"/>
      <c r="E15" s="2"/>
      <c r="F15" s="2"/>
      <c r="G15" s="2"/>
      <c r="H15" s="2"/>
      <c r="I15" s="2"/>
      <c r="M15" s="2"/>
      <c r="N15" s="2"/>
      <c r="O15" s="2"/>
      <c r="P15" s="2"/>
      <c r="Q15" s="2"/>
      <c r="R15" s="2"/>
      <c r="S15" s="2"/>
      <c r="T15" s="2"/>
      <c r="U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>
      <c r="A16" s="2"/>
      <c r="B16" s="2"/>
      <c r="C16" s="2"/>
      <c r="D16" s="2"/>
      <c r="E16" s="2"/>
      <c r="F16" s="2"/>
      <c r="G16" s="2"/>
      <c r="H16" s="2"/>
      <c r="I16" s="2"/>
      <c r="M16" s="2"/>
      <c r="N16" s="2"/>
      <c r="O16" s="2"/>
      <c r="P16" s="2"/>
      <c r="Q16" s="2"/>
      <c r="R16" s="2"/>
      <c r="S16" s="2"/>
      <c r="T16" s="2"/>
      <c r="U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>
      <c r="A17" s="2"/>
      <c r="B17" s="2"/>
      <c r="C17" s="2"/>
      <c r="D17" s="2"/>
      <c r="E17" s="2"/>
      <c r="F17" s="2"/>
      <c r="G17" s="2"/>
      <c r="H17" s="2"/>
      <c r="I17" s="2"/>
      <c r="M17" s="2"/>
      <c r="N17" s="2"/>
      <c r="O17" s="2"/>
      <c r="P17" s="2"/>
      <c r="Q17" s="2"/>
      <c r="R17" s="2"/>
      <c r="S17" s="2"/>
      <c r="T17" s="2"/>
      <c r="U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>
      <c r="A18" s="2"/>
      <c r="B18" s="2"/>
      <c r="C18" s="2"/>
      <c r="D18" s="2"/>
      <c r="E18" s="2"/>
      <c r="F18" s="2"/>
      <c r="G18" s="2"/>
      <c r="H18" s="2"/>
      <c r="I18" s="2"/>
      <c r="M18" s="2"/>
      <c r="N18" s="2"/>
      <c r="O18" s="2"/>
      <c r="P18" s="2"/>
      <c r="Q18" s="2"/>
      <c r="R18" s="2"/>
      <c r="S18" s="2"/>
      <c r="T18" s="2"/>
      <c r="U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>
      <c r="A19" s="2"/>
      <c r="B19" s="2"/>
      <c r="C19" s="2"/>
      <c r="D19" s="2"/>
      <c r="E19" s="2"/>
      <c r="F19" s="2"/>
      <c r="G19" s="2"/>
      <c r="H19" s="2"/>
      <c r="I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>
      <c r="A20" s="2"/>
      <c r="B20" s="2"/>
      <c r="C20" s="2"/>
      <c r="D20" s="2"/>
      <c r="E20" s="2"/>
      <c r="F20" s="2"/>
      <c r="G20" s="2"/>
      <c r="H20" s="2"/>
      <c r="I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>
      <c r="A21" s="2"/>
      <c r="B21" s="2"/>
      <c r="C21" s="2"/>
      <c r="D21" s="2"/>
      <c r="E21" s="2"/>
      <c r="F21" s="2"/>
      <c r="G21" s="2"/>
      <c r="H21" s="2"/>
      <c r="I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>
      <c r="A22" s="2"/>
      <c r="B22" s="2"/>
      <c r="C22" s="2"/>
      <c r="D22" s="2"/>
      <c r="E22" s="2"/>
      <c r="F22" s="2"/>
      <c r="G22" s="2"/>
      <c r="H22" s="2"/>
      <c r="I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>
      <c r="A23" s="2"/>
      <c r="B23" s="2"/>
      <c r="C23" s="2"/>
      <c r="D23" s="2"/>
      <c r="E23" s="2"/>
      <c r="F23" s="2"/>
      <c r="G23" s="2"/>
      <c r="H23" s="2"/>
      <c r="I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>
      <c r="A24" s="2"/>
      <c r="B24" s="2"/>
      <c r="C24" s="2"/>
      <c r="D24" s="2"/>
      <c r="E24" s="2"/>
      <c r="F24" s="2"/>
      <c r="G24" s="2"/>
      <c r="H24" s="2"/>
      <c r="I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>
      <c r="A25" s="2"/>
      <c r="B25" s="2"/>
      <c r="C25" s="2"/>
      <c r="D25" s="2"/>
      <c r="E25" s="2"/>
      <c r="F25" s="2"/>
      <c r="G25" s="2"/>
      <c r="H25" s="2"/>
      <c r="I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>
      <c r="A26" s="2"/>
      <c r="B26" s="2"/>
      <c r="C26" s="2"/>
      <c r="D26" s="2"/>
      <c r="E26" s="2"/>
      <c r="F26" s="2"/>
      <c r="G26" s="2"/>
      <c r="H26" s="2"/>
      <c r="I26" s="2"/>
      <c r="M26" s="2"/>
      <c r="N26" s="2"/>
      <c r="O26" s="2"/>
      <c r="P26" s="2"/>
      <c r="Q26" s="2"/>
      <c r="R26" s="2"/>
      <c r="S26" s="2"/>
      <c r="T26" s="2"/>
      <c r="U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>
      <c r="A27" s="2"/>
      <c r="B27" s="2"/>
      <c r="C27" s="2"/>
      <c r="D27" s="2"/>
      <c r="E27" s="2"/>
      <c r="F27" s="2"/>
      <c r="G27" s="2"/>
      <c r="H27" s="2"/>
      <c r="I27" s="2"/>
      <c r="M27" s="2"/>
      <c r="N27" s="2"/>
      <c r="O27" s="2"/>
      <c r="P27" s="2"/>
      <c r="Q27" s="2"/>
      <c r="R27" s="2"/>
      <c r="S27" s="2"/>
      <c r="T27" s="2"/>
      <c r="U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>
      <c r="A28" s="2"/>
      <c r="B28" s="2"/>
      <c r="C28" s="2"/>
      <c r="D28" s="2"/>
      <c r="E28" s="2"/>
      <c r="F28" s="2"/>
      <c r="G28" s="2"/>
      <c r="H28" s="2"/>
      <c r="I28" s="2"/>
      <c r="M28" s="2"/>
      <c r="N28" s="2"/>
      <c r="O28" s="2"/>
      <c r="P28" s="2"/>
      <c r="Q28" s="2"/>
      <c r="R28" s="2"/>
      <c r="S28" s="2"/>
      <c r="T28" s="2"/>
      <c r="U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>
      <c r="A29" s="2"/>
      <c r="B29" s="2"/>
      <c r="C29" s="2"/>
      <c r="D29" s="2"/>
      <c r="E29" s="2"/>
      <c r="F29" s="2"/>
      <c r="G29" s="2"/>
      <c r="H29" s="2"/>
      <c r="I29" s="2"/>
      <c r="M29" s="2"/>
      <c r="N29" s="2"/>
      <c r="O29" s="2"/>
      <c r="P29" s="2"/>
      <c r="Q29" s="2"/>
      <c r="R29" s="2"/>
      <c r="S29" s="2"/>
      <c r="T29" s="2"/>
      <c r="U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>
      <c r="A30" s="2"/>
      <c r="B30" s="2"/>
      <c r="C30" s="2"/>
      <c r="D30" s="2"/>
      <c r="E30" s="2"/>
      <c r="F30" s="2"/>
      <c r="G30" s="2"/>
      <c r="H30" s="2"/>
      <c r="I30" s="2"/>
      <c r="M30" s="2"/>
      <c r="N30" s="2"/>
      <c r="O30" s="2"/>
      <c r="P30" s="2"/>
      <c r="Q30" s="2"/>
      <c r="R30" s="2"/>
      <c r="S30" s="2"/>
      <c r="T30" s="2"/>
      <c r="U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>
      <c r="A31" s="2"/>
      <c r="B31" s="2"/>
      <c r="C31" s="2"/>
      <c r="D31" s="2"/>
      <c r="E31" s="2"/>
      <c r="F31" s="2"/>
      <c r="G31" s="2"/>
      <c r="H31" s="2"/>
      <c r="I31" s="2"/>
      <c r="M31" s="2"/>
      <c r="N31" s="2"/>
      <c r="O31" s="2"/>
      <c r="P31" s="2"/>
      <c r="Q31" s="2"/>
      <c r="R31" s="2"/>
      <c r="S31" s="2"/>
      <c r="T31" s="2"/>
      <c r="U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>
      <c r="A32" s="2"/>
      <c r="B32" s="2"/>
      <c r="C32" s="2"/>
      <c r="D32" s="2"/>
      <c r="E32" s="2"/>
      <c r="F32" s="2"/>
      <c r="G32" s="2"/>
      <c r="H32" s="2"/>
      <c r="I32" s="2"/>
      <c r="M32" s="2"/>
      <c r="N32" s="2"/>
      <c r="O32" s="2"/>
      <c r="P32" s="2"/>
      <c r="Q32" s="2"/>
      <c r="R32" s="2"/>
      <c r="S32" s="2"/>
      <c r="T32" s="2"/>
      <c r="U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>
      <c r="A33" s="2"/>
      <c r="B33" s="2"/>
      <c r="C33" s="2"/>
      <c r="D33" s="2"/>
      <c r="E33" s="2"/>
      <c r="F33" s="2"/>
      <c r="G33" s="2"/>
      <c r="H33" s="2"/>
      <c r="I33" s="2"/>
      <c r="M33" s="2"/>
      <c r="N33" s="2"/>
      <c r="O33" s="2"/>
      <c r="P33" s="2"/>
      <c r="Q33" s="2"/>
      <c r="R33" s="2"/>
      <c r="S33" s="2"/>
      <c r="T33" s="2"/>
      <c r="U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>
      <c r="A34" s="2"/>
      <c r="B34" s="2"/>
      <c r="C34" s="2"/>
      <c r="D34" s="2"/>
      <c r="E34" s="2"/>
      <c r="F34" s="2"/>
      <c r="G34" s="2"/>
      <c r="H34" s="2"/>
      <c r="I34" s="2"/>
      <c r="M34" s="2"/>
      <c r="N34" s="2"/>
      <c r="O34" s="2"/>
      <c r="P34" s="2"/>
      <c r="Q34" s="2"/>
      <c r="R34" s="2"/>
      <c r="S34" s="2"/>
      <c r="T34" s="2"/>
      <c r="U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>
      <c r="A35" s="2"/>
      <c r="B35" s="2"/>
      <c r="C35" s="2"/>
      <c r="D35" s="2"/>
      <c r="E35" s="2"/>
      <c r="F35" s="2"/>
      <c r="G35" s="2"/>
      <c r="H35" s="2"/>
      <c r="I35" s="2"/>
      <c r="M35" s="2"/>
      <c r="N35" s="2"/>
      <c r="O35" s="2"/>
      <c r="P35" s="2"/>
      <c r="Q35" s="2"/>
      <c r="R35" s="2"/>
      <c r="S35" s="2"/>
      <c r="T35" s="2"/>
      <c r="U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>
      <c r="A36" s="2"/>
      <c r="B36" s="2"/>
      <c r="C36" s="2"/>
      <c r="D36" s="2"/>
      <c r="E36" s="2"/>
      <c r="F36" s="2"/>
      <c r="G36" s="2"/>
      <c r="H36" s="2"/>
      <c r="I36" s="2"/>
      <c r="M36" s="2"/>
      <c r="N36" s="2"/>
      <c r="O36" s="2"/>
      <c r="P36" s="2"/>
      <c r="Q36" s="2"/>
      <c r="R36" s="2"/>
      <c r="S36" s="2"/>
      <c r="T36" s="2"/>
      <c r="U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>
      <c r="A37" s="2"/>
      <c r="B37" s="2"/>
      <c r="C37" s="2"/>
      <c r="D37" s="2"/>
      <c r="E37" s="2"/>
      <c r="F37" s="2"/>
      <c r="G37" s="2"/>
      <c r="H37" s="2"/>
      <c r="I37" s="2"/>
      <c r="M37" s="2"/>
      <c r="N37" s="2"/>
      <c r="O37" s="2"/>
      <c r="P37" s="2"/>
      <c r="Q37" s="2"/>
      <c r="R37" s="2"/>
      <c r="S37" s="2"/>
      <c r="T37" s="2"/>
      <c r="U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>
      <c r="A38" s="2"/>
      <c r="B38" s="2"/>
      <c r="C38" s="2"/>
      <c r="D38" s="2"/>
      <c r="E38" s="2"/>
      <c r="F38" s="2"/>
      <c r="G38" s="2"/>
      <c r="H38" s="2"/>
      <c r="I38" s="2"/>
      <c r="M38" s="2"/>
      <c r="N38" s="2"/>
      <c r="O38" s="2"/>
      <c r="P38" s="2"/>
      <c r="Q38" s="2"/>
      <c r="R38" s="2"/>
      <c r="S38" s="2"/>
      <c r="T38" s="2"/>
      <c r="U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>
      <c r="A39" s="2"/>
      <c r="B39" s="2"/>
      <c r="C39" s="2"/>
      <c r="D39" s="2"/>
      <c r="E39" s="2"/>
      <c r="F39" s="2"/>
      <c r="G39" s="2"/>
      <c r="H39" s="2"/>
      <c r="I39" s="2"/>
      <c r="M39" s="2"/>
      <c r="N39" s="2"/>
      <c r="O39" s="2"/>
      <c r="P39" s="2"/>
      <c r="Q39" s="2"/>
      <c r="R39" s="2"/>
      <c r="S39" s="2"/>
      <c r="T39" s="2"/>
      <c r="U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>
      <c r="A40" s="2"/>
      <c r="B40" s="2"/>
      <c r="C40" s="2"/>
      <c r="D40" s="2"/>
      <c r="E40" s="2"/>
      <c r="F40" s="2"/>
      <c r="G40" s="2"/>
      <c r="H40" s="2"/>
      <c r="I40" s="2"/>
      <c r="M40" s="2"/>
      <c r="N40" s="2"/>
      <c r="O40" s="2"/>
      <c r="P40" s="2"/>
      <c r="Q40" s="2"/>
      <c r="R40" s="2"/>
      <c r="S40" s="2"/>
      <c r="T40" s="2"/>
      <c r="U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1">
      <c r="A41" s="2"/>
    </row>
    <row r="42" spans="1:1">
      <c r="A42" s="2"/>
    </row>
  </sheetData>
  <sheetProtection formatCells="0" insertHyperlinks="0" autoFilter="0"/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产品报价单</vt:lpstr>
      <vt:lpstr>稻壳儿表格模板使用说明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dennisyang</cp:lastModifiedBy>
  <dcterms:created xsi:type="dcterms:W3CDTF">2022-09-09T00:15:00Z</dcterms:created>
  <dcterms:modified xsi:type="dcterms:W3CDTF">2025-10-31T14:54:53Z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7D2D855C1304EF013D5D04697820D67E_43</vt:lpwstr>
  </property>
  <property fmtid="{D5CDD505-2E9C-101B-9397-08002B2CF9AE}" pid="3" name="KSOProductBuildVer">
    <vt:lpwstr>2052-12.1.21861.21861</vt:lpwstr>
  </property>
  <property fmtid="{D5CDD505-2E9C-101B-9397-08002B2CF9AE}" pid="4" name="KSOTemplateUUID">
    <vt:lpwstr>v1.0_mb_x7cOGqxuAvTUy6WU9ID3lQ==</vt:lpwstr>
  </property>
</Properties>
</file>